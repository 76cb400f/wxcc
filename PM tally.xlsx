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03yi6\Desktop\"/>
    </mc:Choice>
  </mc:AlternateContent>
  <xr:revisionPtr revIDLastSave="0" documentId="13_ncr:1_{0923FE38-169A-4D3F-BA8C-305C42B42C55}" xr6:coauthVersionLast="47" xr6:coauthVersionMax="47" xr10:uidLastSave="{00000000-0000-0000-0000-000000000000}"/>
  <bookViews>
    <workbookView xWindow="-28920" yWindow="-60" windowWidth="29040" windowHeight="15720" activeTab="1" xr2:uid="{D37BD1FB-DCF1-4314-A5C0-7D20DB5A4C83}"/>
  </bookViews>
  <sheets>
    <sheet name="Purchase" sheetId="1" r:id="rId1"/>
    <sheet name="Inventory" sheetId="2" r:id="rId2"/>
  </sheets>
  <definedNames>
    <definedName name="_xlnm._FilterDatabase" localSheetId="1" hidden="1">Inventory!$A$1:$F$18</definedName>
    <definedName name="_xlnm._FilterDatabase" localSheetId="0" hidden="1">Purchase!$A$2:$G$30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G31" i="1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2" i="2"/>
  <c r="E3" i="2"/>
  <c r="D33" i="1"/>
  <c r="G6" i="1"/>
  <c r="G33" i="1" s="1"/>
  <c r="G24" i="1"/>
  <c r="G25" i="1"/>
  <c r="G26" i="1"/>
  <c r="G27" i="1"/>
  <c r="G28" i="1"/>
  <c r="G29" i="1"/>
  <c r="G18" i="1"/>
  <c r="G19" i="1"/>
  <c r="G20" i="1"/>
  <c r="G21" i="1"/>
  <c r="G22" i="1"/>
  <c r="G23" i="1"/>
  <c r="G17" i="1"/>
  <c r="G16" i="1"/>
  <c r="G15" i="1"/>
  <c r="G7" i="1"/>
  <c r="G8" i="1"/>
  <c r="G30" i="1"/>
  <c r="G14" i="1"/>
  <c r="G13" i="1"/>
  <c r="G12" i="1"/>
  <c r="G11" i="1"/>
  <c r="G10" i="1"/>
  <c r="G9" i="1"/>
  <c r="G5" i="1"/>
  <c r="G4" i="1"/>
  <c r="G3" i="1"/>
  <c r="E20" i="2" l="1"/>
</calcChain>
</file>

<file path=xl/sharedStrings.xml><?xml version="1.0" encoding="utf-8"?>
<sst xmlns="http://schemas.openxmlformats.org/spreadsheetml/2006/main" count="133" uniqueCount="37">
  <si>
    <t>Date</t>
  </si>
  <si>
    <t>Qty</t>
  </si>
  <si>
    <t>Description</t>
  </si>
  <si>
    <t>Type</t>
  </si>
  <si>
    <t>AU</t>
  </si>
  <si>
    <t>1/10 Krug</t>
  </si>
  <si>
    <t>1/10 Eag</t>
  </si>
  <si>
    <t>Cost</t>
  </si>
  <si>
    <t>Total</t>
  </si>
  <si>
    <t>AG</t>
  </si>
  <si>
    <t>10oz RCM</t>
  </si>
  <si>
    <t>10oz A-Mark</t>
  </si>
  <si>
    <t>1oz Eag</t>
  </si>
  <si>
    <t>APMX</t>
  </si>
  <si>
    <t>SD</t>
  </si>
  <si>
    <t>Product</t>
  </si>
  <si>
    <t>1oz Ag Eag</t>
  </si>
  <si>
    <t>1 oz Au Eag</t>
  </si>
  <si>
    <t>1oz Ag Misc Rnd</t>
  </si>
  <si>
    <t>1oz Ag Misc Bar</t>
  </si>
  <si>
    <t>1oz Ag J-M</t>
  </si>
  <si>
    <t>1oz Ag Eng</t>
  </si>
  <si>
    <t>1oz Ag Maple</t>
  </si>
  <si>
    <t>1/10 Au Eag</t>
  </si>
  <si>
    <t>Oz</t>
  </si>
  <si>
    <t>10oz Ag RCM</t>
  </si>
  <si>
    <t>1oz Ag Aussie</t>
  </si>
  <si>
    <t>1oz Ag Cndn</t>
  </si>
  <si>
    <t>5oz Ag Misc Bar</t>
  </si>
  <si>
    <t>1 oz Ag Repub Mtls Bar</t>
  </si>
  <si>
    <t>5oz Ag Sunsh Bar</t>
  </si>
  <si>
    <t>10oz Ag Eng</t>
  </si>
  <si>
    <t>10oz Ag A-Mrk</t>
  </si>
  <si>
    <t>1/10 Au Krug</t>
  </si>
  <si>
    <t>Retail</t>
  </si>
  <si>
    <t>(9/23/25)</t>
  </si>
  <si>
    <t>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</si>
</sst>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F1F2-5DAC-4083-B80D-401D1908B8BC}">
  <dimension ref="A2:N42"/>
  <sheetViews>
    <sheetView workbookViewId="0">
      <selection activeCell="G5" sqref="G5"/>
    </sheetView>
  </sheetViews>
  <sheetFormatPr defaultRowHeight="15" x14ac:dyDescent="0.25"/>
  <cols>
    <col min="1" max="1" width="9.140625" customWidth="1"/>
    <col min="2" max="2" width="11" customWidth="1"/>
    <col min="3" max="4" width="9.140625" style="2"/>
    <col min="5" max="5" width="27.42578125" customWidth="1"/>
    <col min="6" max="7" width="9.140625" style="7"/>
  </cols>
  <sheetData>
    <row r="2" spans="1:14" x14ac:dyDescent="0.25">
      <c r="B2" s="4" t="s">
        <v>0</v>
      </c>
      <c r="C2" s="4" t="s">
        <v>3</v>
      </c>
      <c r="D2" s="4" t="s">
        <v>1</v>
      </c>
      <c r="E2" s="5" t="s">
        <v>2</v>
      </c>
      <c r="F2" s="6" t="s">
        <v>7</v>
      </c>
      <c r="G2" s="6" t="s">
        <v>8</v>
      </c>
    </row>
    <row r="3" spans="1:14" x14ac:dyDescent="0.25">
      <c r="A3" t="s">
        <v>13</v>
      </c>
      <c r="B3" s="1">
        <v>41004</v>
      </c>
      <c r="C3" s="3" t="s">
        <v>4</v>
      </c>
      <c r="D3" s="2">
        <v>2</v>
      </c>
      <c r="E3" t="s">
        <v>5</v>
      </c>
      <c r="F3" s="7">
        <v>177.94</v>
      </c>
      <c r="G3" s="7">
        <f>F3*D3</f>
        <v>355.88</v>
      </c>
    </row>
    <row r="4" spans="1:14" x14ac:dyDescent="0.25">
      <c r="A4" t="s">
        <v>13</v>
      </c>
      <c r="B4" s="1">
        <v>41004</v>
      </c>
      <c r="C4" s="2" t="s">
        <v>4</v>
      </c>
      <c r="D4" s="2">
        <v>6</v>
      </c>
      <c r="E4" t="s">
        <v>6</v>
      </c>
      <c r="F4" s="7">
        <v>187.74</v>
      </c>
      <c r="G4" s="7">
        <f>F4*D4</f>
        <v>1126.44</v>
      </c>
    </row>
    <row r="5" spans="1:14" x14ac:dyDescent="0.25">
      <c r="A5" t="s">
        <v>13</v>
      </c>
      <c r="B5" s="1">
        <v>41607</v>
      </c>
      <c r="C5" s="2" t="s">
        <v>4</v>
      </c>
      <c r="D5" s="2">
        <v>8</v>
      </c>
      <c r="E5" t="s">
        <v>6</v>
      </c>
      <c r="F5" s="7">
        <v>149.06</v>
      </c>
      <c r="G5" s="7">
        <f>F5*D5</f>
        <v>1192.48</v>
      </c>
      <c r="N5" s="7"/>
    </row>
    <row r="6" spans="1:14" x14ac:dyDescent="0.25">
      <c r="A6" t="s">
        <v>13</v>
      </c>
      <c r="B6" s="1">
        <v>41607</v>
      </c>
      <c r="C6" s="2" t="s">
        <v>9</v>
      </c>
      <c r="D6" s="2">
        <v>1</v>
      </c>
      <c r="E6" t="s">
        <v>12</v>
      </c>
      <c r="F6" s="7">
        <v>29.39</v>
      </c>
      <c r="G6" s="7">
        <f>F6*D6</f>
        <v>29.39</v>
      </c>
    </row>
    <row r="7" spans="1:14" x14ac:dyDescent="0.25">
      <c r="A7" t="s">
        <v>14</v>
      </c>
      <c r="B7" s="1">
        <v>43494</v>
      </c>
      <c r="C7" s="2" t="s">
        <v>4</v>
      </c>
      <c r="D7" s="2">
        <v>1</v>
      </c>
      <c r="E7" t="s">
        <v>6</v>
      </c>
      <c r="F7" s="7">
        <v>145.53</v>
      </c>
      <c r="G7" s="7">
        <f t="shared" ref="G7:G8" si="0">F7*D7</f>
        <v>145.53</v>
      </c>
    </row>
    <row r="8" spans="1:14" x14ac:dyDescent="0.25">
      <c r="A8" t="s">
        <v>14</v>
      </c>
      <c r="B8" s="1">
        <v>43587</v>
      </c>
      <c r="C8" s="2" t="s">
        <v>4</v>
      </c>
      <c r="D8" s="2">
        <v>1</v>
      </c>
      <c r="E8" t="s">
        <v>6</v>
      </c>
      <c r="F8" s="7">
        <v>141.32</v>
      </c>
      <c r="G8" s="7">
        <f t="shared" si="0"/>
        <v>141.32</v>
      </c>
    </row>
    <row r="9" spans="1:14" x14ac:dyDescent="0.25">
      <c r="A9" t="s">
        <v>13</v>
      </c>
      <c r="B9" s="1">
        <v>43802</v>
      </c>
      <c r="C9" s="2" t="s">
        <v>4</v>
      </c>
      <c r="D9" s="2">
        <v>1</v>
      </c>
      <c r="E9" t="s">
        <v>6</v>
      </c>
      <c r="F9" s="7">
        <v>169.02</v>
      </c>
      <c r="G9" s="7">
        <f t="shared" ref="G9:G17" si="1">F9*D9</f>
        <v>169.02</v>
      </c>
    </row>
    <row r="10" spans="1:14" x14ac:dyDescent="0.25">
      <c r="A10" t="s">
        <v>13</v>
      </c>
      <c r="B10" s="1">
        <v>43886</v>
      </c>
      <c r="C10" s="2" t="s">
        <v>4</v>
      </c>
      <c r="D10" s="2">
        <v>1</v>
      </c>
      <c r="E10" t="s">
        <v>6</v>
      </c>
      <c r="F10" s="7">
        <v>186.64</v>
      </c>
      <c r="G10" s="7">
        <f t="shared" si="1"/>
        <v>186.64</v>
      </c>
    </row>
    <row r="11" spans="1:14" x14ac:dyDescent="0.25">
      <c r="A11" t="s">
        <v>13</v>
      </c>
      <c r="B11" s="1">
        <v>43896</v>
      </c>
      <c r="C11" s="2" t="s">
        <v>4</v>
      </c>
      <c r="D11" s="2">
        <v>1</v>
      </c>
      <c r="E11" t="s">
        <v>6</v>
      </c>
      <c r="F11" s="7">
        <v>191.78</v>
      </c>
      <c r="G11" s="7">
        <f t="shared" si="1"/>
        <v>191.78</v>
      </c>
    </row>
    <row r="12" spans="1:14" x14ac:dyDescent="0.25">
      <c r="A12" t="s">
        <v>13</v>
      </c>
      <c r="B12" s="1">
        <v>43896</v>
      </c>
      <c r="C12" s="2" t="s">
        <v>9</v>
      </c>
      <c r="D12" s="2">
        <v>1</v>
      </c>
      <c r="E12" t="s">
        <v>10</v>
      </c>
      <c r="F12" s="7">
        <v>200.6</v>
      </c>
      <c r="G12" s="7">
        <f t="shared" si="1"/>
        <v>200.6</v>
      </c>
    </row>
    <row r="13" spans="1:14" x14ac:dyDescent="0.25">
      <c r="A13" t="s">
        <v>13</v>
      </c>
      <c r="B13" s="1">
        <v>43907</v>
      </c>
      <c r="C13" s="2" t="s">
        <v>4</v>
      </c>
      <c r="D13" s="2">
        <v>1</v>
      </c>
      <c r="E13" t="s">
        <v>6</v>
      </c>
      <c r="F13" s="7">
        <v>176.67</v>
      </c>
      <c r="G13" s="7">
        <f t="shared" si="1"/>
        <v>176.67</v>
      </c>
    </row>
    <row r="14" spans="1:14" x14ac:dyDescent="0.25">
      <c r="A14" t="s">
        <v>13</v>
      </c>
      <c r="B14" s="1">
        <v>44033</v>
      </c>
      <c r="C14" s="2" t="s">
        <v>9</v>
      </c>
      <c r="D14" s="2">
        <v>1</v>
      </c>
      <c r="E14" t="s">
        <v>11</v>
      </c>
      <c r="F14" s="7">
        <v>254.1</v>
      </c>
      <c r="G14" s="7">
        <f t="shared" si="1"/>
        <v>254.1</v>
      </c>
    </row>
    <row r="15" spans="1:14" x14ac:dyDescent="0.25">
      <c r="A15" t="s">
        <v>14</v>
      </c>
      <c r="B15" s="1">
        <v>44498</v>
      </c>
      <c r="C15" s="2" t="s">
        <v>4</v>
      </c>
      <c r="D15" s="2">
        <v>1</v>
      </c>
      <c r="E15" t="s">
        <v>6</v>
      </c>
      <c r="F15" s="7">
        <v>224.72</v>
      </c>
      <c r="G15" s="7">
        <f t="shared" si="1"/>
        <v>224.72</v>
      </c>
    </row>
    <row r="16" spans="1:14" x14ac:dyDescent="0.25">
      <c r="A16" t="s">
        <v>14</v>
      </c>
      <c r="B16" s="1">
        <v>44523</v>
      </c>
      <c r="C16" s="2" t="s">
        <v>4</v>
      </c>
      <c r="D16" s="2">
        <v>2</v>
      </c>
      <c r="E16" t="s">
        <v>6</v>
      </c>
      <c r="F16" s="7">
        <v>226.39</v>
      </c>
      <c r="G16" s="7">
        <f t="shared" si="1"/>
        <v>452.78</v>
      </c>
    </row>
    <row r="17" spans="1:13" x14ac:dyDescent="0.25">
      <c r="A17" t="s">
        <v>14</v>
      </c>
      <c r="B17" s="1">
        <v>44533</v>
      </c>
      <c r="C17" s="2" t="s">
        <v>9</v>
      </c>
      <c r="D17" s="2">
        <v>3</v>
      </c>
      <c r="E17" t="s">
        <v>10</v>
      </c>
      <c r="F17" s="7">
        <v>279.42</v>
      </c>
      <c r="G17" s="7">
        <f t="shared" si="1"/>
        <v>838.26</v>
      </c>
    </row>
    <row r="18" spans="1:13" x14ac:dyDescent="0.25">
      <c r="A18" t="s">
        <v>14</v>
      </c>
      <c r="B18" s="1">
        <v>44656</v>
      </c>
      <c r="C18" s="2" t="s">
        <v>4</v>
      </c>
      <c r="D18" s="2">
        <v>1</v>
      </c>
      <c r="E18" t="s">
        <v>6</v>
      </c>
      <c r="F18" s="7">
        <v>245.31</v>
      </c>
      <c r="G18" s="7">
        <f t="shared" ref="G18:G29" si="2">F18*D18</f>
        <v>245.31</v>
      </c>
    </row>
    <row r="19" spans="1:13" x14ac:dyDescent="0.25">
      <c r="A19" t="s">
        <v>14</v>
      </c>
      <c r="B19" s="1">
        <v>44677</v>
      </c>
      <c r="C19" s="2" t="s">
        <v>4</v>
      </c>
      <c r="D19" s="2">
        <v>1</v>
      </c>
      <c r="E19" t="s">
        <v>6</v>
      </c>
      <c r="F19" s="7">
        <v>240.9</v>
      </c>
      <c r="G19" s="7">
        <f t="shared" si="2"/>
        <v>240.9</v>
      </c>
      <c r="M19" s="7"/>
    </row>
    <row r="20" spans="1:13" x14ac:dyDescent="0.25">
      <c r="A20" t="s">
        <v>14</v>
      </c>
      <c r="B20" s="1">
        <v>44748</v>
      </c>
      <c r="C20" s="2" t="s">
        <v>4</v>
      </c>
      <c r="D20" s="2">
        <v>1</v>
      </c>
      <c r="E20" t="s">
        <v>6</v>
      </c>
      <c r="F20" s="7">
        <v>222.18</v>
      </c>
      <c r="G20" s="7">
        <f t="shared" si="2"/>
        <v>222.18</v>
      </c>
    </row>
    <row r="21" spans="1:13" x14ac:dyDescent="0.25">
      <c r="A21" t="s">
        <v>14</v>
      </c>
      <c r="B21" s="1">
        <v>44755</v>
      </c>
      <c r="C21" s="2" t="s">
        <v>9</v>
      </c>
      <c r="D21" s="2">
        <v>1</v>
      </c>
      <c r="E21" t="s">
        <v>10</v>
      </c>
      <c r="F21" s="7">
        <v>232.08</v>
      </c>
      <c r="G21" s="7">
        <f t="shared" si="2"/>
        <v>232.08</v>
      </c>
    </row>
    <row r="22" spans="1:13" x14ac:dyDescent="0.25">
      <c r="A22" t="s">
        <v>14</v>
      </c>
      <c r="B22" s="1">
        <v>44824</v>
      </c>
      <c r="C22" s="2" t="s">
        <v>4</v>
      </c>
      <c r="D22" s="2">
        <v>1</v>
      </c>
      <c r="E22" t="s">
        <v>6</v>
      </c>
      <c r="F22" s="7">
        <v>224.09</v>
      </c>
      <c r="G22" s="7">
        <f t="shared" si="2"/>
        <v>224.09</v>
      </c>
    </row>
    <row r="23" spans="1:13" x14ac:dyDescent="0.25">
      <c r="A23" t="s">
        <v>14</v>
      </c>
      <c r="B23" s="1">
        <v>44902</v>
      </c>
      <c r="C23" s="2" t="s">
        <v>4</v>
      </c>
      <c r="D23" s="2">
        <v>1</v>
      </c>
      <c r="E23" t="s">
        <v>6</v>
      </c>
      <c r="F23" s="7">
        <v>234.71</v>
      </c>
      <c r="G23" s="7">
        <f t="shared" si="2"/>
        <v>234.71</v>
      </c>
    </row>
    <row r="24" spans="1:13" x14ac:dyDescent="0.25">
      <c r="A24" t="s">
        <v>14</v>
      </c>
      <c r="B24" s="1">
        <v>44965</v>
      </c>
      <c r="C24" s="2" t="s">
        <v>4</v>
      </c>
      <c r="D24" s="2">
        <v>1</v>
      </c>
      <c r="E24" t="s">
        <v>6</v>
      </c>
      <c r="F24" s="7">
        <v>227.74</v>
      </c>
      <c r="G24" s="7">
        <f t="shared" si="2"/>
        <v>227.74</v>
      </c>
    </row>
    <row r="25" spans="1:13" x14ac:dyDescent="0.25">
      <c r="A25" t="s">
        <v>14</v>
      </c>
      <c r="B25" s="1">
        <v>45005</v>
      </c>
      <c r="C25" s="2" t="s">
        <v>4</v>
      </c>
      <c r="D25" s="2">
        <v>2</v>
      </c>
      <c r="E25" t="s">
        <v>6</v>
      </c>
      <c r="F25" s="7">
        <v>249.53</v>
      </c>
      <c r="G25" s="7">
        <f t="shared" si="2"/>
        <v>499.06</v>
      </c>
    </row>
    <row r="26" spans="1:13" x14ac:dyDescent="0.25">
      <c r="A26" t="s">
        <v>14</v>
      </c>
      <c r="B26" s="1">
        <v>45050</v>
      </c>
      <c r="C26" s="3" t="s">
        <v>4</v>
      </c>
      <c r="D26" s="2">
        <v>1</v>
      </c>
      <c r="E26" t="s">
        <v>5</v>
      </c>
      <c r="F26" s="7">
        <v>256.62</v>
      </c>
      <c r="G26" s="7">
        <f t="shared" si="2"/>
        <v>256.62</v>
      </c>
    </row>
    <row r="27" spans="1:13" x14ac:dyDescent="0.25">
      <c r="A27" t="s">
        <v>14</v>
      </c>
      <c r="B27" s="1">
        <v>45114</v>
      </c>
      <c r="C27" s="2" t="s">
        <v>4</v>
      </c>
      <c r="D27" s="2">
        <v>1</v>
      </c>
      <c r="E27" t="s">
        <v>6</v>
      </c>
      <c r="F27" s="7">
        <v>254.3</v>
      </c>
      <c r="G27" s="7">
        <f t="shared" si="2"/>
        <v>254.3</v>
      </c>
    </row>
    <row r="28" spans="1:13" x14ac:dyDescent="0.25">
      <c r="A28" t="s">
        <v>14</v>
      </c>
      <c r="B28" s="1">
        <v>45168</v>
      </c>
      <c r="C28" s="2" t="s">
        <v>4</v>
      </c>
      <c r="D28" s="2">
        <v>1</v>
      </c>
      <c r="E28" t="s">
        <v>6</v>
      </c>
      <c r="F28" s="7">
        <v>246.32</v>
      </c>
      <c r="G28" s="7">
        <f t="shared" si="2"/>
        <v>246.32</v>
      </c>
    </row>
    <row r="29" spans="1:13" x14ac:dyDescent="0.25">
      <c r="A29" t="s">
        <v>14</v>
      </c>
      <c r="B29" s="1">
        <v>45244</v>
      </c>
      <c r="C29" s="2" t="s">
        <v>4</v>
      </c>
      <c r="D29" s="2">
        <v>1</v>
      </c>
      <c r="E29" t="s">
        <v>6</v>
      </c>
      <c r="F29" s="7">
        <v>245.85</v>
      </c>
      <c r="G29" s="7">
        <f t="shared" si="2"/>
        <v>245.85</v>
      </c>
    </row>
    <row r="30" spans="1:13" x14ac:dyDescent="0.25">
      <c r="A30" t="s">
        <v>13</v>
      </c>
      <c r="B30" s="1">
        <v>45655</v>
      </c>
      <c r="C30" s="2" t="s">
        <v>4</v>
      </c>
      <c r="D30" s="2">
        <v>1</v>
      </c>
      <c r="E30" t="s">
        <v>12</v>
      </c>
      <c r="F30" s="7">
        <v>2716.89</v>
      </c>
      <c r="G30" s="7">
        <f>F30*D30</f>
        <v>2716.89</v>
      </c>
    </row>
    <row r="31" spans="1:13" x14ac:dyDescent="0.25">
      <c r="A31" t="s">
        <v>36</v>
      </c>
      <c r="B31" s="1">
        <v>46117</v>
      </c>
      <c r="C31" s="2" t="s">
        <v>4</v>
      </c>
      <c r="D31" s="2">
        <v>1</v>
      </c>
      <c r="E31" t="s">
        <v>12</v>
      </c>
      <c r="F31" s="7">
        <v>4687.3999999999996</v>
      </c>
      <c r="G31" s="7">
        <f>F31*D31</f>
        <v>4687.3999999999996</v>
      </c>
    </row>
    <row r="32" spans="1:13" x14ac:dyDescent="0.25">
      <c r="B32" s="1"/>
    </row>
    <row r="33" spans="4:10" x14ac:dyDescent="0.25">
      <c r="D33" s="2">
        <f>SUBTOTAL(9,D3:D31)</f>
        <v>46</v>
      </c>
      <c r="G33" s="8">
        <f>SUM(G3:G31)</f>
        <v>16219.06</v>
      </c>
    </row>
    <row r="42" spans="4:10" x14ac:dyDescent="0.25">
      <c r="J42" s="7"/>
    </row>
  </sheetData>
  <autoFilter ref="A2:G30" xr:uid="{B649F1F2-5DAC-4083-B80D-401D1908B8B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B04D-5969-4E2F-8431-FCC0690C5471}">
  <dimension ref="A1:F20"/>
  <sheetViews>
    <sheetView tabSelected="1" workbookViewId="0">
      <selection activeCell="D19" sqref="D19"/>
    </sheetView>
  </sheetViews>
  <sheetFormatPr defaultRowHeight="15" x14ac:dyDescent="0.25"/>
  <cols>
    <col min="2" max="2" width="7.7109375" style="2" customWidth="1"/>
    <col min="3" max="3" width="27.7109375" customWidth="1"/>
  </cols>
  <sheetData>
    <row r="1" spans="1:6" x14ac:dyDescent="0.25">
      <c r="A1" t="s">
        <v>3</v>
      </c>
      <c r="B1" s="2" t="s">
        <v>1</v>
      </c>
      <c r="C1" s="2" t="s">
        <v>15</v>
      </c>
      <c r="D1" t="s">
        <v>24</v>
      </c>
      <c r="E1" s="2" t="s">
        <v>34</v>
      </c>
      <c r="F1" s="2" t="s">
        <v>35</v>
      </c>
    </row>
    <row r="2" spans="1:6" x14ac:dyDescent="0.25">
      <c r="A2" t="s">
        <v>4</v>
      </c>
      <c r="B2" s="2">
        <v>3</v>
      </c>
      <c r="C2" t="s">
        <v>33</v>
      </c>
      <c r="D2">
        <v>0.3</v>
      </c>
      <c r="E2">
        <f>545*B2</f>
        <v>1635</v>
      </c>
    </row>
    <row r="3" spans="1:6" x14ac:dyDescent="0.25">
      <c r="A3" t="s">
        <v>4</v>
      </c>
      <c r="B3" s="2">
        <v>39</v>
      </c>
      <c r="C3" t="s">
        <v>23</v>
      </c>
      <c r="D3">
        <v>3.9</v>
      </c>
      <c r="E3">
        <f>555*B3</f>
        <v>21645</v>
      </c>
    </row>
    <row r="4" spans="1:6" x14ac:dyDescent="0.25">
      <c r="A4" t="s">
        <v>4</v>
      </c>
      <c r="B4" s="2">
        <v>2</v>
      </c>
      <c r="C4" t="s">
        <v>17</v>
      </c>
      <c r="D4">
        <v>1</v>
      </c>
      <c r="E4">
        <f>4875*B4</f>
        <v>9750</v>
      </c>
    </row>
    <row r="5" spans="1:6" x14ac:dyDescent="0.25">
      <c r="A5" t="s">
        <v>9</v>
      </c>
      <c r="B5" s="2">
        <v>280</v>
      </c>
      <c r="C5" t="s">
        <v>16</v>
      </c>
      <c r="D5">
        <v>280</v>
      </c>
      <c r="E5">
        <f>95*D5</f>
        <v>26600</v>
      </c>
    </row>
    <row r="6" spans="1:6" x14ac:dyDescent="0.25">
      <c r="A6" t="s">
        <v>9</v>
      </c>
      <c r="B6" s="2">
        <v>16</v>
      </c>
      <c r="C6" t="s">
        <v>21</v>
      </c>
      <c r="D6">
        <v>16</v>
      </c>
      <c r="E6">
        <f>90*D6</f>
        <v>1440</v>
      </c>
    </row>
    <row r="7" spans="1:6" x14ac:dyDescent="0.25">
      <c r="A7" t="s">
        <v>9</v>
      </c>
      <c r="B7" s="2">
        <v>10</v>
      </c>
      <c r="C7" t="s">
        <v>20</v>
      </c>
      <c r="D7">
        <v>10</v>
      </c>
      <c r="E7">
        <f>90*D7</f>
        <v>900</v>
      </c>
    </row>
    <row r="8" spans="1:6" x14ac:dyDescent="0.25">
      <c r="A8" t="s">
        <v>9</v>
      </c>
      <c r="B8" s="2">
        <v>3</v>
      </c>
      <c r="C8" t="s">
        <v>19</v>
      </c>
      <c r="D8">
        <v>3</v>
      </c>
      <c r="E8">
        <f>85*D8</f>
        <v>255</v>
      </c>
    </row>
    <row r="9" spans="1:6" x14ac:dyDescent="0.25">
      <c r="A9" t="s">
        <v>9</v>
      </c>
      <c r="B9" s="2">
        <v>1</v>
      </c>
      <c r="C9" t="s">
        <v>28</v>
      </c>
      <c r="D9">
        <v>5</v>
      </c>
      <c r="E9">
        <f>425*B9</f>
        <v>425</v>
      </c>
    </row>
    <row r="10" spans="1:6" x14ac:dyDescent="0.25">
      <c r="A10" t="s">
        <v>9</v>
      </c>
      <c r="B10" s="2">
        <v>1</v>
      </c>
      <c r="C10" t="s">
        <v>30</v>
      </c>
      <c r="D10">
        <v>5</v>
      </c>
      <c r="E10">
        <f>425*B10</f>
        <v>425</v>
      </c>
    </row>
    <row r="11" spans="1:6" x14ac:dyDescent="0.25">
      <c r="A11" t="s">
        <v>9</v>
      </c>
      <c r="B11" s="2">
        <v>7</v>
      </c>
      <c r="C11" t="s">
        <v>18</v>
      </c>
      <c r="D11">
        <v>7</v>
      </c>
      <c r="E11">
        <f>85*D11</f>
        <v>595</v>
      </c>
    </row>
    <row r="12" spans="1:6" x14ac:dyDescent="0.25">
      <c r="A12" t="s">
        <v>9</v>
      </c>
      <c r="B12" s="2">
        <v>2</v>
      </c>
      <c r="C12" t="s">
        <v>22</v>
      </c>
      <c r="D12">
        <v>2</v>
      </c>
      <c r="E12">
        <f>90*D12</f>
        <v>180</v>
      </c>
    </row>
    <row r="13" spans="1:6" x14ac:dyDescent="0.25">
      <c r="A13" t="s">
        <v>9</v>
      </c>
      <c r="B13" s="2">
        <v>5</v>
      </c>
      <c r="C13" t="s">
        <v>25</v>
      </c>
      <c r="D13">
        <v>50</v>
      </c>
      <c r="E13">
        <f>900*B13</f>
        <v>4500</v>
      </c>
    </row>
    <row r="14" spans="1:6" x14ac:dyDescent="0.25">
      <c r="A14" t="s">
        <v>9</v>
      </c>
      <c r="B14" s="2">
        <v>1</v>
      </c>
      <c r="C14" t="s">
        <v>31</v>
      </c>
      <c r="D14">
        <v>10</v>
      </c>
      <c r="E14">
        <f>900*B14</f>
        <v>900</v>
      </c>
    </row>
    <row r="15" spans="1:6" x14ac:dyDescent="0.25">
      <c r="A15" t="s">
        <v>9</v>
      </c>
      <c r="B15" s="2">
        <v>7</v>
      </c>
      <c r="C15" t="s">
        <v>27</v>
      </c>
      <c r="D15">
        <v>7</v>
      </c>
      <c r="E15">
        <f>85*D15</f>
        <v>595</v>
      </c>
    </row>
    <row r="16" spans="1:6" x14ac:dyDescent="0.25">
      <c r="A16" t="s">
        <v>9</v>
      </c>
      <c r="B16" s="2">
        <v>1</v>
      </c>
      <c r="C16" t="s">
        <v>26</v>
      </c>
      <c r="D16">
        <v>1</v>
      </c>
      <c r="E16">
        <f>85*D16</f>
        <v>85</v>
      </c>
    </row>
    <row r="17" spans="1:5" x14ac:dyDescent="0.25">
      <c r="A17" t="s">
        <v>9</v>
      </c>
      <c r="B17" s="2">
        <v>4</v>
      </c>
      <c r="C17" t="s">
        <v>29</v>
      </c>
      <c r="D17">
        <v>4</v>
      </c>
      <c r="E17">
        <f>85*D17</f>
        <v>340</v>
      </c>
    </row>
    <row r="18" spans="1:5" x14ac:dyDescent="0.25">
      <c r="A18" t="s">
        <v>9</v>
      </c>
      <c r="B18" s="2">
        <v>1</v>
      </c>
      <c r="C18" t="s">
        <v>32</v>
      </c>
      <c r="D18">
        <v>10</v>
      </c>
      <c r="E18">
        <f>850*B18</f>
        <v>850</v>
      </c>
    </row>
    <row r="20" spans="1:5" x14ac:dyDescent="0.25">
      <c r="E20">
        <f>SUM(E2:E19)</f>
        <v>71120</v>
      </c>
    </row>
  </sheetData>
  <autoFilter ref="A1:F18" xr:uid="{66D8B04D-5969-4E2F-8431-FCC0690C54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Roberts</dc:creator>
  <cp:lastModifiedBy>Greg Roberts</cp:lastModifiedBy>
  <dcterms:created xsi:type="dcterms:W3CDTF">2025-01-07T15:36:08Z</dcterms:created>
  <dcterms:modified xsi:type="dcterms:W3CDTF">2026-04-17T15:26:12Z</dcterms:modified>
</cp:coreProperties>
</file>